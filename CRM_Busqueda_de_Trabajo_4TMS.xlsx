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ómo usar" sheetId="1" state="visible" r:id="rId3"/>
    <sheet name="Seguimiento" sheetId="2" state="visible" r:id="rId4"/>
    <sheet name="Resum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<sst xmlns="http://schemas.openxmlformats.org/spreadsheetml/2006/main" count="80" uniqueCount="76">
  <si>
    <t xml:space="preserve">CRM de búsqueda de trabajo</t>
  </si>
  <si>
    <t xml:space="preserve">4T Management Solutions · Herramienta de seguimiento para tu proceso</t>
  </si>
  <si>
    <t xml:space="preserve">Para qué sirve</t>
  </si>
  <si>
    <t xml:space="preserve">Esta planilla es tu sistema de búsqueda. La mayoría de las búsquedas no se caen por falta de talento, sino por falta de seguimiento. Acá llevas en un solo lugar a qué empresas postulaste, qué acción hiciste, en qué estado va cada conversación y cuál es tu próxima acción.</t>
  </si>
  <si>
    <t xml:space="preserve">Cómo trabajarla</t>
  </si>
  <si>
    <t xml:space="preserve">1. Cada vez que hagas una acción (postular, escribir, conversar), agrégala como una fila en la hoja Seguimiento.</t>
  </si>
  <si>
    <t xml:space="preserve">2. Marca el Estado con el menú desplegable. El color cambia solo: verde es avance, mostaza es en curso, rojo o gris es cerrado o sin respuesta.</t>
  </si>
  <si>
    <t xml:space="preserve">3. Anota siempre la próxima acción y su fecha. Si no hay próxima acción, la conversación está cerrada.</t>
  </si>
  <si>
    <t xml:space="preserve">4. Revisa la planilla una vez por semana. La hoja Resumen te muestra el panorama completo, calculado solo.</t>
  </si>
  <si>
    <t xml:space="preserve">Una idea del coaching: cada pedido que haces merece un cierre, aunque sea un “no”. Un “no” también te deja avanzar y libera tu energía para la siguiente conversación.</t>
  </si>
  <si>
    <t xml:space="preserve">Los estados, en orden</t>
  </si>
  <si>
    <t xml:space="preserve">Identificada — la tienes en la mira, todavía no postulas.</t>
  </si>
  <si>
    <t xml:space="preserve">Postulada — enviaste CV o postulación.</t>
  </si>
  <si>
    <t xml:space="preserve">Contactada — alguien de la empresa respondió.</t>
  </si>
  <si>
    <t xml:space="preserve">En conversación — hay intercambio activo.</t>
  </si>
  <si>
    <t xml:space="preserve">Entrevista — proceso de entrevistas en curso.</t>
  </si>
  <si>
    <t xml:space="preserve">Oferta — recibiste una propuesta.</t>
  </si>
  <si>
    <t xml:space="preserve">Cerrada - acepté — aceptaste la oferta.</t>
  </si>
  <si>
    <t xml:space="preserve">Cerrada - descartada — quedó fuera, de un lado o del otro.</t>
  </si>
  <si>
    <t xml:space="preserve">Sin respuesta — pasó el tiempo y no hubo respuesta. Considera un seguimiento.</t>
  </si>
  <si>
    <t xml:space="preserve">CRM de búsqueda de trabajo  ·  4T Management Solutions</t>
  </si>
  <si>
    <t xml:space="preserve">Registra cada empresa, tu acción, el estado y tu próxima acción. Revisa esta planilla una vez por semana.</t>
  </si>
  <si>
    <t xml:space="preserve">Empresa</t>
  </si>
  <si>
    <t xml:space="preserve">Cargo / posición</t>
  </si>
  <si>
    <t xml:space="preserve">Sector</t>
  </si>
  <si>
    <t xml:space="preserve">Fuente</t>
  </si>
  <si>
    <t xml:space="preserve">Contacto</t>
  </si>
  <si>
    <t xml:space="preserve">Correo / canal</t>
  </si>
  <si>
    <t xml:space="preserve">Acción realizada</t>
  </si>
  <si>
    <t xml:space="preserve">Fecha acción</t>
  </si>
  <si>
    <t xml:space="preserve">Estado</t>
  </si>
  <si>
    <t xml:space="preserve">Próxima acción</t>
  </si>
  <si>
    <t xml:space="preserve">Fecha próxima</t>
  </si>
  <si>
    <t xml:space="preserve">Renta conversada</t>
  </si>
  <si>
    <t xml:space="preserve">Aprendizaje / nota</t>
  </si>
  <si>
    <t xml:space="preserve">Falabella Retail</t>
  </si>
  <si>
    <t xml:space="preserve">Jefe de Operaciones Logísticas</t>
  </si>
  <si>
    <t xml:space="preserve">Retail</t>
  </si>
  <si>
    <t xml:space="preserve">LinkedIn</t>
  </si>
  <si>
    <t xml:space="preserve">María Pérez</t>
  </si>
  <si>
    <t xml:space="preserve">mperez@empresa.cl / LinkedIn</t>
  </si>
  <si>
    <t xml:space="preserve">Mensaje LinkedIn</t>
  </si>
  <si>
    <t xml:space="preserve">En conversación</t>
  </si>
  <si>
    <t xml:space="preserve">Enviar CV ajustado al cargo</t>
  </si>
  <si>
    <t xml:space="preserve">$3.200.000 líquido (rango)</t>
  </si>
  <si>
    <t xml:space="preserve">Valoran experiencia en última milla; reforzar ese logro.</t>
  </si>
  <si>
    <t xml:space="preserve">Sodimac</t>
  </si>
  <si>
    <t xml:space="preserve">Coordinador de Abastecimiento</t>
  </si>
  <si>
    <t xml:space="preserve">Retail / construcción</t>
  </si>
  <si>
    <t xml:space="preserve">Directo</t>
  </si>
  <si>
    <t xml:space="preserve">—</t>
  </si>
  <si>
    <t xml:space="preserve">reclutamiento@empresa.cl</t>
  </si>
  <si>
    <t xml:space="preserve">Correo directo</t>
  </si>
  <si>
    <t xml:space="preserve">Sin respuesta</t>
  </si>
  <si>
    <t xml:space="preserve">Correo de seguimiento</t>
  </si>
  <si>
    <t xml:space="preserve">Probar contacto directo con la jefatura del área.</t>
  </si>
  <si>
    <t xml:space="preserve">Resumen de tu búsqueda</t>
  </si>
  <si>
    <t xml:space="preserve">Se calcula solo a partir de la hoja Seguimiento.</t>
  </si>
  <si>
    <t xml:space="preserve">Pipeline por estado</t>
  </si>
  <si>
    <t xml:space="preserve">Indicadores</t>
  </si>
  <si>
    <t xml:space="preserve">Cantidad</t>
  </si>
  <si>
    <t xml:space="preserve">Identificada</t>
  </si>
  <si>
    <t xml:space="preserve">Empresas registradas</t>
  </si>
  <si>
    <t xml:space="preserve">Postulada</t>
  </si>
  <si>
    <t xml:space="preserve">Postulaciones enviadas</t>
  </si>
  <si>
    <t xml:space="preserve">Contactada</t>
  </si>
  <si>
    <t xml:space="preserve">Entrevistas</t>
  </si>
  <si>
    <t xml:space="preserve">Ofertas</t>
  </si>
  <si>
    <t xml:space="preserve">Entrevista</t>
  </si>
  <si>
    <t xml:space="preserve">Tasa de respuesta</t>
  </si>
  <si>
    <t xml:space="preserve">Oferta</t>
  </si>
  <si>
    <t xml:space="preserve">Próximas acciones agendadas</t>
  </si>
  <si>
    <t xml:space="preserve">Cerrada - acepté</t>
  </si>
  <si>
    <t xml:space="preserve">Vencen esta semana</t>
  </si>
  <si>
    <t xml:space="preserve">Cerrada - descartada</t>
  </si>
  <si>
    <t xml:space="preserve">“Próximas acciones” usa la fecha de hoy; cámbiala en tu equipo y se actualiza.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</si>
</sst>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\-yyyy"/>
    <numFmt numFmtId="166" formatCode="General"/>
    <numFmt numFmtId="167" formatCode="0"/>
    <numFmt numFmtId="168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2255A"/>
      <name val="Arial"/>
      <family val="0"/>
      <charset val="1"/>
    </font>
    <font>
      <sz val="10"/>
      <color rgb="FF6B6E88"/>
      <name val="Arial"/>
      <family val="0"/>
      <charset val="1"/>
    </font>
    <font>
      <b val="true"/>
      <sz val="12"/>
      <color rgb="FFD8A828"/>
      <name val="Arial"/>
      <family val="0"/>
      <charset val="1"/>
    </font>
    <font>
      <sz val="11"/>
      <color rgb="FF2A2C4D"/>
      <name val="Arial"/>
      <family val="0"/>
      <charset val="1"/>
    </font>
    <font>
      <i val="true"/>
      <sz val="10.5"/>
      <color rgb="FF22255A"/>
      <name val="Arial"/>
      <family val="0"/>
      <charset val="1"/>
    </font>
    <font>
      <sz val="10.5"/>
      <color rgb="FF2A2C4D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.5"/>
      <color rgb="FF6B6E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A2C4D"/>
      <name val="Arial"/>
      <family val="0"/>
      <charset val="1"/>
    </font>
    <font>
      <b val="true"/>
      <sz val="16"/>
      <color rgb="FF22255A"/>
      <name val="Arial"/>
      <family val="0"/>
      <charset val="1"/>
    </font>
    <font>
      <b val="true"/>
      <sz val="11"/>
      <color rgb="FF22255A"/>
      <name val="Arial"/>
      <family val="0"/>
      <charset val="1"/>
    </font>
    <font>
      <b val="true"/>
      <sz val="11"/>
      <color rgb="FF4D7A17"/>
      <name val="Arial"/>
      <family val="0"/>
      <charset val="1"/>
    </font>
    <font>
      <i val="true"/>
      <sz val="8.5"/>
      <color rgb="FF6B6E88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BF1D6"/>
        <bgColor rgb="FFFBEFC9"/>
      </patternFill>
    </fill>
    <fill>
      <patternFill patternType="solid">
        <fgColor rgb="FF22255A"/>
        <bgColor rgb="FF2A2C4D"/>
      </patternFill>
    </fill>
    <fill>
      <patternFill patternType="solid">
        <fgColor rgb="FFE7E9F0"/>
        <bgColor rgb="FFEDEDED"/>
      </patternFill>
    </fill>
    <fill>
      <patternFill patternType="solid">
        <fgColor rgb="FFDCE6F5"/>
        <bgColor rgb="FFE7E9F0"/>
      </patternFill>
    </fill>
    <fill>
      <patternFill patternType="solid">
        <fgColor rgb="FFC3D7F0"/>
        <bgColor rgb="FFD5D8E3"/>
      </patternFill>
    </fill>
    <fill>
      <patternFill patternType="solid">
        <fgColor rgb="FFFBEFC9"/>
        <bgColor rgb="FFFBF1D6"/>
      </patternFill>
    </fill>
    <fill>
      <patternFill patternType="solid">
        <fgColor rgb="FFF3DE9B"/>
        <bgColor rgb="FFF2D2CE"/>
      </patternFill>
    </fill>
    <fill>
      <patternFill patternType="solid">
        <fgColor rgb="FFEAF3DD"/>
        <bgColor rgb="FFEDEDED"/>
      </patternFill>
    </fill>
    <fill>
      <patternFill patternType="solid">
        <fgColor rgb="FFD9EBC4"/>
        <bgColor rgb="FFEAF3DD"/>
      </patternFill>
    </fill>
    <fill>
      <patternFill patternType="solid">
        <fgColor rgb="FFB7DD8E"/>
        <bgColor rgb="FFD9EBC4"/>
      </patternFill>
    </fill>
    <fill>
      <patternFill patternType="solid">
        <fgColor rgb="FFF2D2CE"/>
        <bgColor rgb="FFD5D8E3"/>
      </patternFill>
    </fill>
    <fill>
      <patternFill patternType="solid">
        <fgColor rgb="FFEDEDED"/>
        <bgColor rgb="FFE7E9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E3"/>
      </left>
      <right style="thin">
        <color rgb="FFD5D8E3"/>
      </right>
      <top style="thin">
        <color rgb="FFD5D8E3"/>
      </top>
      <bottom style="thin">
        <color rgb="FFD5D8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E7E9F0"/>
        </patternFill>
      </fill>
    </dxf>
    <dxf>
      <fill>
        <patternFill>
          <bgColor rgb="FFDCE6F5"/>
        </patternFill>
      </fill>
    </dxf>
    <dxf>
      <fill>
        <patternFill>
          <bgColor rgb="FFC3D7F0"/>
        </patternFill>
      </fill>
    </dxf>
    <dxf>
      <fill>
        <patternFill>
          <bgColor rgb="FFFBEFC9"/>
        </patternFill>
      </fill>
    </dxf>
    <dxf>
      <fill>
        <patternFill>
          <bgColor rgb="FFF3DE9B"/>
        </patternFill>
      </fill>
    </dxf>
    <dxf>
      <fill>
        <patternFill>
          <bgColor rgb="FFD9EBC4"/>
        </patternFill>
      </fill>
    </dxf>
    <dxf>
      <fill>
        <patternFill>
          <bgColor rgb="FFB7DD8E"/>
        </patternFill>
      </fill>
    </dxf>
    <dxf>
      <fill>
        <patternFill>
          <bgColor rgb="FFF2D2CE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D7A17"/>
      <rgbColor rgb="FF800080"/>
      <rgbColor rgb="FF008080"/>
      <rgbColor rgb="FFD5D8E3"/>
      <rgbColor rgb="FF808080"/>
      <rgbColor rgb="FFEDEDED"/>
      <rgbColor rgb="FF993366"/>
      <rgbColor rgb="FFFBF1D6"/>
      <rgbColor rgb="FFDCE6F5"/>
      <rgbColor rgb="FF660066"/>
      <rgbColor rgb="FFFF8080"/>
      <rgbColor rgb="FF0066CC"/>
      <rgbColor rgb="FFC3D7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DD"/>
      <rgbColor rgb="FFD9EBC4"/>
      <rgbColor rgb="FFFBEFC9"/>
      <rgbColor rgb="FFB7DD8E"/>
      <rgbColor rgb="FFF2D2CE"/>
      <rgbColor rgb="FFE7E9F0"/>
      <rgbColor rgb="FFF3DE9B"/>
      <rgbColor rgb="FF3366FF"/>
      <rgbColor rgb="FF33CCCC"/>
      <rgbColor rgb="FF99CC00"/>
      <rgbColor rgb="FFFFCC00"/>
      <rgbColor rgb="FFD8A828"/>
      <rgbColor rgb="FFFF6600"/>
      <rgbColor rgb="FF6B6E88"/>
      <rgbColor rgb="FF969696"/>
      <rgbColor rgb="FF22255A"/>
      <rgbColor rgb="FF6FA52C"/>
      <rgbColor rgb="FF003300"/>
      <rgbColor rgb="FF333300"/>
      <rgbColor rgb="FF993300"/>
      <rgbColor rgb="FF993366"/>
      <rgbColor rgb="FF333399"/>
      <rgbColor rgb="FF2A2C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A828"/>
    <pageSetUpPr fitToPage="false"/>
  </sheetPr>
  <dimension ref="B2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4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1.5" hidden="false" customHeight="true" outlineLevel="0" collapsed="false">
      <c r="B6" s="4" t="s">
        <v>3</v>
      </c>
    </row>
    <row r="7" customFormat="false" ht="15" hidden="false" customHeight="false" outlineLevel="0" collapsed="false">
      <c r="B7" s="3" t="s">
        <v>4</v>
      </c>
    </row>
    <row r="8" customFormat="false" ht="31.5" hidden="false" customHeight="true" outlineLevel="0" collapsed="false">
      <c r="B8" s="4" t="s">
        <v>5</v>
      </c>
    </row>
    <row r="9" customFormat="false" ht="31.5" hidden="false" customHeight="true" outlineLevel="0" collapsed="false">
      <c r="B9" s="4" t="s">
        <v>6</v>
      </c>
    </row>
    <row r="10" customFormat="false" ht="31.5" hidden="false" customHeight="true" outlineLevel="0" collapsed="false">
      <c r="B10" s="4" t="s">
        <v>7</v>
      </c>
    </row>
    <row r="11" customFormat="false" ht="31.5" hidden="false" customHeight="true" outlineLevel="0" collapsed="false">
      <c r="B11" s="4" t="s">
        <v>8</v>
      </c>
    </row>
    <row r="12" customFormat="false" ht="45.75" hidden="false" customHeight="true" outlineLevel="0" collapsed="false">
      <c r="B12" s="5" t="s">
        <v>9</v>
      </c>
    </row>
    <row r="13" customFormat="false" ht="1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6" t="s">
        <v>11</v>
      </c>
    </row>
    <row r="15" customFormat="false" ht="15" hidden="false" customHeight="false" outlineLevel="0" collapsed="false">
      <c r="B15" s="6" t="s">
        <v>12</v>
      </c>
    </row>
    <row r="16" customFormat="false" ht="15" hidden="false" customHeight="false" outlineLevel="0" collapsed="false">
      <c r="B16" s="6" t="s">
        <v>13</v>
      </c>
    </row>
    <row r="17" customFormat="false" ht="15" hidden="false" customHeight="false" outlineLevel="0" collapsed="false">
      <c r="B17" s="6" t="s">
        <v>14</v>
      </c>
    </row>
    <row r="18" customFormat="false" ht="15" hidden="false" customHeight="false" outlineLevel="0" collapsed="false">
      <c r="B18" s="6" t="s">
        <v>15</v>
      </c>
    </row>
    <row r="19" customFormat="false" ht="15" hidden="false" customHeight="false" outlineLevel="0" collapsed="false">
      <c r="B19" s="6" t="s">
        <v>16</v>
      </c>
    </row>
    <row r="20" customFormat="false" ht="15" hidden="false" customHeight="false" outlineLevel="0" collapsed="false">
      <c r="B20" s="6" t="s">
        <v>17</v>
      </c>
    </row>
    <row r="21" customFormat="false" ht="15" hidden="false" customHeight="false" outlineLevel="0" collapsed="false">
      <c r="B21" s="6" t="s">
        <v>18</v>
      </c>
    </row>
    <row r="22" customFormat="false" ht="15" hidden="false" customHeight="false" outlineLevel="0" collapsed="false">
      <c r="B22" s="6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255A"/>
    <pageSetUpPr fitToPage="false"/>
  </sheetPr>
  <dimension ref="A1:M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5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1"/>
    <col collapsed="false" customWidth="true" hidden="false" outlineLevel="0" max="10" min="10" style="0" width="27"/>
    <col collapsed="false" customWidth="true" hidden="false" outlineLevel="0" max="11" min="11" style="0" width="14"/>
    <col collapsed="false" customWidth="true" hidden="false" outlineLevel="0" max="12" min="12" style="0" width="20"/>
    <col collapsed="false" customWidth="true" hidden="false" outlineLevel="0" max="13" min="13" style="0" width="34"/>
  </cols>
  <sheetData>
    <row r="1" customFormat="false" ht="30" hidden="false" customHeight="true" outlineLevel="0" collapsed="false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customFormat="false" ht="19.5" hidden="false" customHeight="true" outlineLevel="0" collapsed="false">
      <c r="A2" s="8" t="s">
        <v>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customFormat="false" ht="30" hidden="false" customHeight="true" outlineLevel="0" collapsed="false">
      <c r="A3" s="9" t="s">
        <v>22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30</v>
      </c>
      <c r="J3" s="9" t="s">
        <v>31</v>
      </c>
      <c r="K3" s="9" t="s">
        <v>32</v>
      </c>
      <c r="L3" s="9" t="s">
        <v>33</v>
      </c>
      <c r="M3" s="9" t="s">
        <v>34</v>
      </c>
    </row>
    <row r="4" customFormat="false" ht="30" hidden="false" customHeight="true" outlineLevel="0" collapsed="false">
      <c r="A4" s="10" t="s">
        <v>35</v>
      </c>
      <c r="B4" s="10" t="s">
        <v>36</v>
      </c>
      <c r="C4" s="10" t="s">
        <v>37</v>
      </c>
      <c r="D4" s="10" t="s">
        <v>38</v>
      </c>
      <c r="E4" s="10" t="s">
        <v>39</v>
      </c>
      <c r="F4" s="10" t="s">
        <v>40</v>
      </c>
      <c r="G4" s="10" t="s">
        <v>41</v>
      </c>
      <c r="H4" s="11" t="n">
        <v>46193</v>
      </c>
      <c r="I4" s="10" t="s">
        <v>42</v>
      </c>
      <c r="J4" s="12" t="s">
        <v>43</v>
      </c>
      <c r="K4" s="11" t="n">
        <v>46200</v>
      </c>
      <c r="L4" s="10" t="s">
        <v>44</v>
      </c>
      <c r="M4" s="12" t="s">
        <v>45</v>
      </c>
    </row>
    <row r="5" customFormat="false" ht="30" hidden="false" customHeight="true" outlineLevel="0" collapsed="false">
      <c r="A5" s="10" t="s">
        <v>46</v>
      </c>
      <c r="B5" s="10" t="s">
        <v>47</v>
      </c>
      <c r="C5" s="10" t="s">
        <v>48</v>
      </c>
      <c r="D5" s="10" t="s">
        <v>49</v>
      </c>
      <c r="E5" s="10" t="s">
        <v>50</v>
      </c>
      <c r="F5" s="10" t="s">
        <v>51</v>
      </c>
      <c r="G5" s="10" t="s">
        <v>52</v>
      </c>
      <c r="H5" s="11" t="n">
        <v>46188</v>
      </c>
      <c r="I5" s="10" t="s">
        <v>53</v>
      </c>
      <c r="J5" s="12" t="s">
        <v>54</v>
      </c>
      <c r="K5" s="11" t="n">
        <v>46198</v>
      </c>
      <c r="L5" s="10" t="s">
        <v>50</v>
      </c>
      <c r="M5" s="12" t="s">
        <v>55</v>
      </c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1"/>
      <c r="I6" s="10"/>
      <c r="J6" s="12"/>
      <c r="K6" s="11"/>
      <c r="L6" s="10"/>
      <c r="M6" s="12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1"/>
      <c r="I7" s="10"/>
      <c r="J7" s="12"/>
      <c r="K7" s="11"/>
      <c r="L7" s="10"/>
      <c r="M7" s="12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1"/>
      <c r="I8" s="10"/>
      <c r="J8" s="12"/>
      <c r="K8" s="11"/>
      <c r="L8" s="10"/>
      <c r="M8" s="12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1"/>
      <c r="I9" s="10"/>
      <c r="J9" s="12"/>
      <c r="K9" s="11"/>
      <c r="L9" s="10"/>
      <c r="M9" s="12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1"/>
      <c r="I10" s="10"/>
      <c r="J10" s="12"/>
      <c r="K10" s="11"/>
      <c r="L10" s="10"/>
      <c r="M10" s="12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1"/>
      <c r="I11" s="10"/>
      <c r="J11" s="12"/>
      <c r="K11" s="11"/>
      <c r="L11" s="10"/>
      <c r="M11" s="12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1"/>
      <c r="I12" s="10"/>
      <c r="J12" s="12"/>
      <c r="K12" s="11"/>
      <c r="L12" s="10"/>
      <c r="M12" s="12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1"/>
      <c r="I13" s="10"/>
      <c r="J13" s="12"/>
      <c r="K13" s="11"/>
      <c r="L13" s="10"/>
      <c r="M13" s="12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1"/>
      <c r="I14" s="10"/>
      <c r="J14" s="12"/>
      <c r="K14" s="11"/>
      <c r="L14" s="10"/>
      <c r="M14" s="12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1"/>
      <c r="I15" s="10"/>
      <c r="J15" s="12"/>
      <c r="K15" s="11"/>
      <c r="L15" s="10"/>
      <c r="M15" s="12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1"/>
      <c r="I16" s="10"/>
      <c r="J16" s="12"/>
      <c r="K16" s="11"/>
      <c r="L16" s="10"/>
      <c r="M16" s="12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1"/>
      <c r="I17" s="10"/>
      <c r="J17" s="12"/>
      <c r="K17" s="11"/>
      <c r="L17" s="10"/>
      <c r="M17" s="12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1"/>
      <c r="I18" s="10"/>
      <c r="J18" s="12"/>
      <c r="K18" s="11"/>
      <c r="L18" s="10"/>
      <c r="M18" s="12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1"/>
      <c r="I19" s="10"/>
      <c r="J19" s="12"/>
      <c r="K19" s="11"/>
      <c r="L19" s="10"/>
      <c r="M19" s="12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1"/>
      <c r="I20" s="10"/>
      <c r="J20" s="12"/>
      <c r="K20" s="11"/>
      <c r="L20" s="10"/>
      <c r="M20" s="12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1"/>
      <c r="I21" s="10"/>
      <c r="J21" s="12"/>
      <c r="K21" s="11"/>
      <c r="L21" s="10"/>
      <c r="M21" s="12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1"/>
      <c r="I22" s="10"/>
      <c r="J22" s="12"/>
      <c r="K22" s="11"/>
      <c r="L22" s="10"/>
      <c r="M22" s="12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1"/>
      <c r="I23" s="10"/>
      <c r="J23" s="12"/>
      <c r="K23" s="11"/>
      <c r="L23" s="10"/>
      <c r="M23" s="12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1"/>
      <c r="I24" s="10"/>
      <c r="J24" s="12"/>
      <c r="K24" s="11"/>
      <c r="L24" s="10"/>
      <c r="M24" s="12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1"/>
      <c r="I25" s="10"/>
      <c r="J25" s="12"/>
      <c r="K25" s="11"/>
      <c r="L25" s="10"/>
      <c r="M25" s="12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1"/>
      <c r="I26" s="10"/>
      <c r="J26" s="12"/>
      <c r="K26" s="11"/>
      <c r="L26" s="10"/>
      <c r="M26" s="12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1"/>
      <c r="I27" s="10"/>
      <c r="J27" s="12"/>
      <c r="K27" s="11"/>
      <c r="L27" s="10"/>
      <c r="M27" s="12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1"/>
      <c r="I28" s="10"/>
      <c r="J28" s="12"/>
      <c r="K28" s="11"/>
      <c r="L28" s="10"/>
      <c r="M28" s="12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1"/>
      <c r="I29" s="10"/>
      <c r="J29" s="12"/>
      <c r="K29" s="11"/>
      <c r="L29" s="10"/>
      <c r="M29" s="12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1"/>
      <c r="I30" s="10"/>
      <c r="J30" s="12"/>
      <c r="K30" s="11"/>
      <c r="L30" s="10"/>
      <c r="M30" s="12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1"/>
      <c r="I31" s="10"/>
      <c r="J31" s="12"/>
      <c r="K31" s="11"/>
      <c r="L31" s="10"/>
      <c r="M31" s="12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1"/>
      <c r="I32" s="10"/>
      <c r="J32" s="12"/>
      <c r="K32" s="11"/>
      <c r="L32" s="10"/>
      <c r="M32" s="12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1"/>
      <c r="I33" s="10"/>
      <c r="J33" s="12"/>
      <c r="K33" s="11"/>
      <c r="L33" s="10"/>
      <c r="M33" s="12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1"/>
      <c r="I34" s="10"/>
      <c r="J34" s="12"/>
      <c r="K34" s="11"/>
      <c r="L34" s="10"/>
      <c r="M34" s="12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1"/>
      <c r="I35" s="10"/>
      <c r="J35" s="12"/>
      <c r="K35" s="11"/>
      <c r="L35" s="10"/>
      <c r="M35" s="12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1"/>
      <c r="I36" s="10"/>
      <c r="J36" s="12"/>
      <c r="K36" s="11"/>
      <c r="L36" s="10"/>
      <c r="M36" s="12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1"/>
      <c r="I37" s="10"/>
      <c r="J37" s="12"/>
      <c r="K37" s="11"/>
      <c r="L37" s="10"/>
      <c r="M37" s="12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1"/>
      <c r="I38" s="10"/>
      <c r="J38" s="12"/>
      <c r="K38" s="11"/>
      <c r="L38" s="10"/>
      <c r="M38" s="12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1"/>
      <c r="I39" s="10"/>
      <c r="J39" s="12"/>
      <c r="K39" s="11"/>
      <c r="L39" s="10"/>
      <c r="M39" s="12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1"/>
      <c r="I40" s="10"/>
      <c r="J40" s="12"/>
      <c r="K40" s="11"/>
      <c r="L40" s="10"/>
      <c r="M40" s="12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1"/>
      <c r="I41" s="10"/>
      <c r="J41" s="12"/>
      <c r="K41" s="11"/>
      <c r="L41" s="10"/>
      <c r="M41" s="12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1"/>
      <c r="I42" s="10"/>
      <c r="J42" s="12"/>
      <c r="K42" s="11"/>
      <c r="L42" s="10"/>
      <c r="M42" s="12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1"/>
      <c r="I43" s="10"/>
      <c r="J43" s="12"/>
      <c r="K43" s="11"/>
      <c r="L43" s="10"/>
      <c r="M43" s="12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1"/>
      <c r="I44" s="10"/>
      <c r="J44" s="12"/>
      <c r="K44" s="11"/>
      <c r="L44" s="10"/>
      <c r="M44" s="12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1"/>
      <c r="I45" s="10"/>
      <c r="J45" s="12"/>
      <c r="K45" s="11"/>
      <c r="L45" s="10"/>
      <c r="M45" s="12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1"/>
      <c r="I46" s="10"/>
      <c r="J46" s="12"/>
      <c r="K46" s="11"/>
      <c r="L46" s="10"/>
      <c r="M46" s="12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1"/>
      <c r="I47" s="10"/>
      <c r="J47" s="12"/>
      <c r="K47" s="11"/>
      <c r="L47" s="10"/>
      <c r="M47" s="12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1"/>
      <c r="I48" s="10"/>
      <c r="J48" s="12"/>
      <c r="K48" s="11"/>
      <c r="L48" s="10"/>
      <c r="M48" s="12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1"/>
      <c r="I49" s="10"/>
      <c r="J49" s="12"/>
      <c r="K49" s="11"/>
      <c r="L49" s="10"/>
      <c r="M49" s="12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1"/>
      <c r="I50" s="10"/>
      <c r="J50" s="12"/>
      <c r="K50" s="11"/>
      <c r="L50" s="10"/>
      <c r="M50" s="12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1"/>
      <c r="I51" s="10"/>
      <c r="J51" s="12"/>
      <c r="K51" s="11"/>
      <c r="L51" s="10"/>
      <c r="M51" s="12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1"/>
      <c r="I52" s="10"/>
      <c r="J52" s="12"/>
      <c r="K52" s="11"/>
      <c r="L52" s="10"/>
      <c r="M52" s="12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1"/>
      <c r="I53" s="10"/>
      <c r="J53" s="12"/>
      <c r="K53" s="11"/>
      <c r="L53" s="10"/>
      <c r="M53" s="12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1"/>
      <c r="I54" s="10"/>
      <c r="J54" s="12"/>
      <c r="K54" s="11"/>
      <c r="L54" s="10"/>
      <c r="M54" s="12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1"/>
      <c r="I55" s="10"/>
      <c r="J55" s="12"/>
      <c r="K55" s="11"/>
      <c r="L55" s="10"/>
      <c r="M55" s="12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1"/>
      <c r="I56" s="10"/>
      <c r="J56" s="12"/>
      <c r="K56" s="11"/>
      <c r="L56" s="10"/>
      <c r="M56" s="12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1"/>
      <c r="I57" s="10"/>
      <c r="J57" s="12"/>
      <c r="K57" s="11"/>
      <c r="L57" s="10"/>
      <c r="M57" s="12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1"/>
      <c r="I58" s="10"/>
      <c r="J58" s="12"/>
      <c r="K58" s="11"/>
      <c r="L58" s="10"/>
      <c r="M58" s="12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1"/>
      <c r="I59" s="10"/>
      <c r="J59" s="12"/>
      <c r="K59" s="11"/>
      <c r="L59" s="10"/>
      <c r="M59" s="12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1"/>
      <c r="I60" s="10"/>
      <c r="J60" s="12"/>
      <c r="K60" s="11"/>
      <c r="L60" s="10"/>
      <c r="M60" s="12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1"/>
      <c r="I61" s="10"/>
      <c r="J61" s="12"/>
      <c r="K61" s="11"/>
      <c r="L61" s="10"/>
      <c r="M61" s="12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1"/>
      <c r="I62" s="10"/>
      <c r="J62" s="12"/>
      <c r="K62" s="11"/>
      <c r="L62" s="10"/>
      <c r="M62" s="12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1"/>
      <c r="I63" s="10"/>
      <c r="J63" s="12"/>
      <c r="K63" s="11"/>
      <c r="L63" s="10"/>
      <c r="M63" s="12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1"/>
      <c r="I64" s="10"/>
      <c r="J64" s="12"/>
      <c r="K64" s="11"/>
      <c r="L64" s="10"/>
      <c r="M64" s="12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1"/>
      <c r="I65" s="10"/>
      <c r="J65" s="12"/>
      <c r="K65" s="11"/>
      <c r="L65" s="10"/>
      <c r="M65" s="12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1"/>
      <c r="I66" s="10"/>
      <c r="J66" s="12"/>
      <c r="K66" s="11"/>
      <c r="L66" s="10"/>
      <c r="M66" s="12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1"/>
      <c r="I67" s="10"/>
      <c r="J67" s="12"/>
      <c r="K67" s="11"/>
      <c r="L67" s="10"/>
      <c r="M67" s="12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1"/>
      <c r="I68" s="10"/>
      <c r="J68" s="12"/>
      <c r="K68" s="11"/>
      <c r="L68" s="10"/>
      <c r="M68" s="12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1"/>
      <c r="I69" s="10"/>
      <c r="J69" s="12"/>
      <c r="K69" s="11"/>
      <c r="L69" s="10"/>
      <c r="M69" s="12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1"/>
      <c r="I70" s="10"/>
      <c r="J70" s="12"/>
      <c r="K70" s="11"/>
      <c r="L70" s="10"/>
      <c r="M70" s="12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1"/>
      <c r="I71" s="10"/>
      <c r="J71" s="12"/>
      <c r="K71" s="11"/>
      <c r="L71" s="10"/>
      <c r="M71" s="12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1"/>
      <c r="I72" s="10"/>
      <c r="J72" s="12"/>
      <c r="K72" s="11"/>
      <c r="L72" s="10"/>
      <c r="M72" s="12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1"/>
      <c r="I73" s="10"/>
      <c r="J73" s="12"/>
      <c r="K73" s="11"/>
      <c r="L73" s="10"/>
      <c r="M73" s="12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1"/>
      <c r="I74" s="10"/>
      <c r="J74" s="12"/>
      <c r="K74" s="11"/>
      <c r="L74" s="10"/>
      <c r="M74" s="12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1"/>
      <c r="I75" s="10"/>
      <c r="J75" s="12"/>
      <c r="K75" s="11"/>
      <c r="L75" s="10"/>
      <c r="M75" s="12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1"/>
      <c r="I76" s="10"/>
      <c r="J76" s="12"/>
      <c r="K76" s="11"/>
      <c r="L76" s="10"/>
      <c r="M76" s="12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1"/>
      <c r="I77" s="10"/>
      <c r="J77" s="12"/>
      <c r="K77" s="11"/>
      <c r="L77" s="10"/>
      <c r="M77" s="12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1"/>
      <c r="I78" s="10"/>
      <c r="J78" s="12"/>
      <c r="K78" s="11"/>
      <c r="L78" s="10"/>
      <c r="M78" s="12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1"/>
      <c r="I79" s="10"/>
      <c r="J79" s="12"/>
      <c r="K79" s="11"/>
      <c r="L79" s="10"/>
      <c r="M79" s="12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1"/>
      <c r="I80" s="10"/>
      <c r="J80" s="12"/>
      <c r="K80" s="11"/>
      <c r="L80" s="10"/>
      <c r="M80" s="12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1"/>
      <c r="I81" s="10"/>
      <c r="J81" s="12"/>
      <c r="K81" s="11"/>
      <c r="L81" s="10"/>
      <c r="M81" s="12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1"/>
      <c r="I82" s="10"/>
      <c r="J82" s="12"/>
      <c r="K82" s="11"/>
      <c r="L82" s="10"/>
      <c r="M82" s="12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1"/>
      <c r="I83" s="10"/>
      <c r="J83" s="12"/>
      <c r="K83" s="11"/>
      <c r="L83" s="10"/>
      <c r="M83" s="12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1"/>
      <c r="I84" s="10"/>
      <c r="J84" s="12"/>
      <c r="K84" s="11"/>
      <c r="L84" s="10"/>
      <c r="M84" s="12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1"/>
      <c r="I85" s="10"/>
      <c r="J85" s="12"/>
      <c r="K85" s="11"/>
      <c r="L85" s="10"/>
      <c r="M85" s="12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1"/>
      <c r="I86" s="10"/>
      <c r="J86" s="12"/>
      <c r="K86" s="11"/>
      <c r="L86" s="10"/>
      <c r="M86" s="12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1"/>
      <c r="I87" s="10"/>
      <c r="J87" s="12"/>
      <c r="K87" s="11"/>
      <c r="L87" s="10"/>
      <c r="M87" s="12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1"/>
      <c r="I88" s="10"/>
      <c r="J88" s="12"/>
      <c r="K88" s="11"/>
      <c r="L88" s="10"/>
      <c r="M88" s="12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1"/>
      <c r="I89" s="10"/>
      <c r="J89" s="12"/>
      <c r="K89" s="11"/>
      <c r="L89" s="10"/>
      <c r="M89" s="12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1"/>
      <c r="I90" s="10"/>
      <c r="J90" s="12"/>
      <c r="K90" s="11"/>
      <c r="L90" s="10"/>
      <c r="M90" s="12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1"/>
      <c r="I91" s="10"/>
      <c r="J91" s="12"/>
      <c r="K91" s="11"/>
      <c r="L91" s="10"/>
      <c r="M91" s="12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1"/>
      <c r="I92" s="10"/>
      <c r="J92" s="12"/>
      <c r="K92" s="11"/>
      <c r="L92" s="10"/>
      <c r="M92" s="12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1"/>
      <c r="I93" s="10"/>
      <c r="J93" s="12"/>
      <c r="K93" s="11"/>
      <c r="L93" s="10"/>
      <c r="M93" s="12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1"/>
      <c r="I94" s="10"/>
      <c r="J94" s="12"/>
      <c r="K94" s="11"/>
      <c r="L94" s="10"/>
      <c r="M94" s="12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1"/>
      <c r="I95" s="10"/>
      <c r="J95" s="12"/>
      <c r="K95" s="11"/>
      <c r="L95" s="10"/>
      <c r="M95" s="12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1"/>
      <c r="I96" s="10"/>
      <c r="J96" s="12"/>
      <c r="K96" s="11"/>
      <c r="L96" s="10"/>
      <c r="M96" s="12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1"/>
      <c r="I97" s="10"/>
      <c r="J97" s="12"/>
      <c r="K97" s="11"/>
      <c r="L97" s="10"/>
      <c r="M97" s="12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1"/>
      <c r="I98" s="10"/>
      <c r="J98" s="12"/>
      <c r="K98" s="11"/>
      <c r="L98" s="10"/>
      <c r="M98" s="12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1"/>
      <c r="I99" s="10"/>
      <c r="J99" s="12"/>
      <c r="K99" s="11"/>
      <c r="L99" s="10"/>
      <c r="M99" s="12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1"/>
      <c r="I100" s="10"/>
      <c r="J100" s="12"/>
      <c r="K100" s="11"/>
      <c r="L100" s="10"/>
      <c r="M100" s="12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1"/>
      <c r="I101" s="10"/>
      <c r="J101" s="12"/>
      <c r="K101" s="11"/>
      <c r="L101" s="10"/>
      <c r="M101" s="12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1"/>
      <c r="I102" s="10"/>
      <c r="J102" s="12"/>
      <c r="K102" s="11"/>
      <c r="L102" s="10"/>
      <c r="M102" s="12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1"/>
      <c r="I103" s="10"/>
      <c r="J103" s="12"/>
      <c r="K103" s="11"/>
      <c r="L103" s="10"/>
      <c r="M103" s="12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1"/>
      <c r="I104" s="10"/>
      <c r="J104" s="12"/>
      <c r="K104" s="11"/>
      <c r="L104" s="10"/>
      <c r="M104" s="12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1"/>
      <c r="I105" s="10"/>
      <c r="J105" s="12"/>
      <c r="K105" s="11"/>
      <c r="L105" s="10"/>
      <c r="M105" s="12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1"/>
      <c r="I106" s="10"/>
      <c r="J106" s="12"/>
      <c r="K106" s="11"/>
      <c r="L106" s="10"/>
      <c r="M106" s="12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1"/>
      <c r="I107" s="10"/>
      <c r="J107" s="12"/>
      <c r="K107" s="11"/>
      <c r="L107" s="10"/>
      <c r="M107" s="12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1"/>
      <c r="I108" s="10"/>
      <c r="J108" s="12"/>
      <c r="K108" s="11"/>
      <c r="L108" s="10"/>
      <c r="M108" s="12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1"/>
      <c r="I109" s="10"/>
      <c r="J109" s="12"/>
      <c r="K109" s="11"/>
      <c r="L109" s="10"/>
      <c r="M109" s="12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1"/>
      <c r="I110" s="10"/>
      <c r="J110" s="12"/>
      <c r="K110" s="11"/>
      <c r="L110" s="10"/>
      <c r="M110" s="12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1"/>
      <c r="I111" s="10"/>
      <c r="J111" s="12"/>
      <c r="K111" s="11"/>
      <c r="L111" s="10"/>
      <c r="M111" s="12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1"/>
      <c r="I112" s="10"/>
      <c r="J112" s="12"/>
      <c r="K112" s="11"/>
      <c r="L112" s="10"/>
      <c r="M112" s="12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1"/>
      <c r="I113" s="10"/>
      <c r="J113" s="12"/>
      <c r="K113" s="11"/>
      <c r="L113" s="10"/>
      <c r="M113" s="12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1"/>
      <c r="I114" s="10"/>
      <c r="J114" s="12"/>
      <c r="K114" s="11"/>
      <c r="L114" s="10"/>
      <c r="M114" s="12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1"/>
      <c r="I115" s="10"/>
      <c r="J115" s="12"/>
      <c r="K115" s="11"/>
      <c r="L115" s="10"/>
      <c r="M115" s="12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1"/>
      <c r="I116" s="10"/>
      <c r="J116" s="12"/>
      <c r="K116" s="11"/>
      <c r="L116" s="10"/>
      <c r="M116" s="12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1"/>
      <c r="I117" s="10"/>
      <c r="J117" s="12"/>
      <c r="K117" s="11"/>
      <c r="L117" s="10"/>
      <c r="M117" s="12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1"/>
      <c r="I118" s="10"/>
      <c r="J118" s="12"/>
      <c r="K118" s="11"/>
      <c r="L118" s="10"/>
      <c r="M118" s="12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1"/>
      <c r="I119" s="10"/>
      <c r="J119" s="12"/>
      <c r="K119" s="11"/>
      <c r="L119" s="10"/>
      <c r="M119" s="12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1"/>
      <c r="I120" s="10"/>
      <c r="J120" s="12"/>
      <c r="K120" s="11"/>
      <c r="L120" s="10"/>
      <c r="M120" s="12"/>
    </row>
  </sheetData>
  <mergeCells count="2">
    <mergeCell ref="A1:M1"/>
    <mergeCell ref="A2:M2"/>
  </mergeCells>
  <conditionalFormatting sqref="I4:I120">
    <cfRule type="cellIs" priority="2" operator="equal" aboveAverage="0" equalAverage="0" bottom="0" percent="0" rank="0" text="" dxfId="0">
      <formula>"Identificada"</formula>
    </cfRule>
    <cfRule type="cellIs" priority="3" operator="equal" aboveAverage="0" equalAverage="0" bottom="0" percent="0" rank="0" text="" dxfId="1">
      <formula>"Postulada"</formula>
    </cfRule>
    <cfRule type="cellIs" priority="4" operator="equal" aboveAverage="0" equalAverage="0" bottom="0" percent="0" rank="0" text="" dxfId="2">
      <formula>"Contactada"</formula>
    </cfRule>
    <cfRule type="cellIs" priority="5" operator="equal" aboveAverage="0" equalAverage="0" bottom="0" percent="0" rank="0" text="" dxfId="3">
      <formula>"En conversación"</formula>
    </cfRule>
    <cfRule type="cellIs" priority="6" operator="equal" aboveAverage="0" equalAverage="0" bottom="0" percent="0" rank="0" text="" dxfId="4">
      <formula>"Entrevista"</formula>
    </cfRule>
    <cfRule type="cellIs" priority="7" operator="equal" aboveAverage="0" equalAverage="0" bottom="0" percent="0" rank="0" text="" dxfId="5">
      <formula>"Oferta"</formula>
    </cfRule>
    <cfRule type="cellIs" priority="8" operator="equal" aboveAverage="0" equalAverage="0" bottom="0" percent="0" rank="0" text="" dxfId="6">
      <formula>"Cerrada - acepté"</formula>
    </cfRule>
    <cfRule type="cellIs" priority="9" operator="equal" aboveAverage="0" equalAverage="0" bottom="0" percent="0" rank="0" text="" dxfId="7">
      <formula>"Cerrada - descartada"</formula>
    </cfRule>
    <cfRule type="cellIs" priority="10" operator="equal" aboveAverage="0" equalAverage="0" bottom="0" percent="0" rank="0" text="" dxfId="8">
      <formula>"Sin respuesta"</formula>
    </cfRule>
  </conditionalFormatting>
  <dataValidations count="3">
    <dataValidation allowBlank="true" errorStyle="stop" operator="between" showDropDown="false" showErrorMessage="false" showInputMessage="false" sqref="D4:D120" type="list">
      <formula1>"Aviso,Referido,Directo,LinkedIn,Headhunter"</formula1>
      <formula2>0</formula2>
    </dataValidation>
    <dataValidation allowBlank="true" errorStyle="stop" operator="between" showDropDown="false" showErrorMessage="false" showInputMessage="false" sqref="G4:G120" type="list">
      <formula1>"CV + carta,Correo directo,Mensaje LinkedIn,Postulación portal,Llamada,Entrevista,Seguimiento"</formula1>
      <formula2>0</formula2>
    </dataValidation>
    <dataValidation allowBlank="true" errorStyle="stop" operator="between" showDropDown="false" showErrorMessage="false" showInputMessage="false" sqref="I4:I120" type="list">
      <formula1>"Identificada,Postulada,Contactada,En conversación,Entrevista,Oferta,Cerrada - acepté,Cerrada - descartada,Sin respuesta"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FA52C"/>
    <pageSetUpPr fitToPage="false"/>
  </sheetPr>
  <dimension ref="B2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34"/>
    <col collapsed="false" customWidth="true" hidden="false" outlineLevel="0" max="6" min="6" style="0" width="12"/>
  </cols>
  <sheetData>
    <row r="2" customFormat="false" ht="19.7" hidden="false" customHeight="false" outlineLevel="0" collapsed="false">
      <c r="B2" s="13" t="s">
        <v>56</v>
      </c>
      <c r="C2" s="13"/>
      <c r="D2" s="13"/>
      <c r="E2" s="13"/>
      <c r="F2" s="13"/>
    </row>
    <row r="3" customFormat="false" ht="15" hidden="false" customHeight="false" outlineLevel="0" collapsed="false">
      <c r="B3" s="2" t="s">
        <v>57</v>
      </c>
    </row>
    <row r="5" customFormat="false" ht="15" hidden="false" customHeight="false" outlineLevel="0" collapsed="false">
      <c r="B5" s="3" t="s">
        <v>58</v>
      </c>
      <c r="E5" s="3" t="s">
        <v>59</v>
      </c>
    </row>
    <row r="6" customFormat="false" ht="15" hidden="false" customHeight="false" outlineLevel="0" collapsed="false">
      <c r="B6" s="14" t="s">
        <v>30</v>
      </c>
      <c r="C6" s="14" t="s">
        <v>60</v>
      </c>
    </row>
    <row r="7" customFormat="false" ht="15" hidden="false" customHeight="false" outlineLevel="0" collapsed="false">
      <c r="B7" s="15" t="s">
        <v>61</v>
      </c>
      <c r="C7" s="16" t="n">
        <f aca="false">COUNTIF(Seguimiento!$I$4:$I$120,"Identificada")</f>
        <v>0</v>
      </c>
      <c r="E7" s="17" t="s">
        <v>62</v>
      </c>
      <c r="F7" s="18" t="n">
        <f aca="false">COUNTA(Seguimiento!$A$4:$A$120)</f>
        <v>2</v>
      </c>
    </row>
    <row r="8" customFormat="false" ht="15" hidden="false" customHeight="false" outlineLevel="0" collapsed="false">
      <c r="B8" s="19" t="s">
        <v>63</v>
      </c>
      <c r="C8" s="16" t="n">
        <f aca="false">COUNTIF(Seguimiento!$I$4:$I$120,"Postulada")</f>
        <v>0</v>
      </c>
      <c r="E8" s="17" t="s">
        <v>64</v>
      </c>
      <c r="F8" s="18" t="n">
        <f aca="false">SUM(C8:C15)</f>
        <v>2</v>
      </c>
    </row>
    <row r="9" customFormat="false" ht="15" hidden="false" customHeight="false" outlineLevel="0" collapsed="false">
      <c r="B9" s="20" t="s">
        <v>65</v>
      </c>
      <c r="C9" s="16" t="n">
        <f aca="false">COUNTIF(Seguimiento!$I$4:$I$120,"Contactada")</f>
        <v>0</v>
      </c>
      <c r="E9" s="17" t="s">
        <v>66</v>
      </c>
      <c r="F9" s="18" t="n">
        <f aca="false">C11</f>
        <v>0</v>
      </c>
    </row>
    <row r="10" customFormat="false" ht="15" hidden="false" customHeight="false" outlineLevel="0" collapsed="false">
      <c r="B10" s="21" t="s">
        <v>42</v>
      </c>
      <c r="C10" s="16" t="n">
        <f aca="false">COUNTIF(Seguimiento!$I$4:$I$120,"En conversación")</f>
        <v>1</v>
      </c>
      <c r="E10" s="17" t="s">
        <v>67</v>
      </c>
      <c r="F10" s="18" t="n">
        <f aca="false">C12+C13</f>
        <v>0</v>
      </c>
    </row>
    <row r="11" customFormat="false" ht="15" hidden="false" customHeight="false" outlineLevel="0" collapsed="false">
      <c r="B11" s="22" t="s">
        <v>68</v>
      </c>
      <c r="C11" s="16" t="n">
        <f aca="false">COUNTIF(Seguimiento!$I$4:$I$120,"Entrevista")</f>
        <v>0</v>
      </c>
      <c r="E11" s="17" t="s">
        <v>69</v>
      </c>
      <c r="F11" s="23" t="n">
        <f aca="false">IFERROR((C9+C10+C11+C12+C13)/SUM(C8:C15),0)</f>
        <v>0.5</v>
      </c>
    </row>
    <row r="12" customFormat="false" ht="15" hidden="false" customHeight="false" outlineLevel="0" collapsed="false">
      <c r="B12" s="24" t="s">
        <v>70</v>
      </c>
      <c r="C12" s="16" t="n">
        <f aca="false">COUNTIF(Seguimiento!$I$4:$I$120,"Oferta")</f>
        <v>0</v>
      </c>
      <c r="E12" s="17" t="s">
        <v>71</v>
      </c>
      <c r="F12" s="18" t="n">
        <f aca="false">COUNT(Seguimiento!$K$4:$K$120)</f>
        <v>2</v>
      </c>
    </row>
    <row r="13" customFormat="false" ht="15" hidden="false" customHeight="false" outlineLevel="0" collapsed="false">
      <c r="B13" s="25" t="s">
        <v>72</v>
      </c>
      <c r="C13" s="16" t="n">
        <f aca="false">COUNTIF(Seguimiento!$I$4:$I$120,"Cerrada - acepté")</f>
        <v>0</v>
      </c>
      <c r="E13" s="17" t="s">
        <v>73</v>
      </c>
      <c r="F13" s="18" t="n">
        <f aca="true">COUNTIFS(Seguimiento!$K$4:$K$120,"&gt;="&amp;TODAY(),Seguimiento!$K$4:$K$120,"&lt;="&amp;(TODAY()+7))</f>
        <v>1</v>
      </c>
    </row>
    <row r="14" customFormat="false" ht="15" hidden="false" customHeight="false" outlineLevel="0" collapsed="false">
      <c r="B14" s="26" t="s">
        <v>74</v>
      </c>
      <c r="C14" s="16" t="n">
        <f aca="false">COUNTIF(Seguimiento!$I$4:$I$120,"Cerrada - descartada")</f>
        <v>0</v>
      </c>
    </row>
    <row r="15" customFormat="false" ht="15" hidden="false" customHeight="false" outlineLevel="0" collapsed="false">
      <c r="B15" s="27" t="s">
        <v>53</v>
      </c>
      <c r="C15" s="16" t="n">
        <f aca="false">COUNTIF(Seguimiento!$I$4:$I$120,"Sin respuesta")</f>
        <v>1</v>
      </c>
      <c r="E15" s="28" t="s">
        <v>75</v>
      </c>
    </row>
  </sheetData>
  <mergeCells count="1">
    <mergeCell ref="B2:F2"/>
  </mergeCells>
  <conditionalFormatting sqref="C7:C15">
    <cfRule type="dataBar" priority="2">
      <dataBar showValue="1" minLength="10" maxLength="90">
        <cfvo type="num" val="0"/>
        <cfvo type="max" val="0"/>
        <color rgb="FF6FA52C"/>
      </dataBar>
      <extLst>
        <ext xmlns:x14="http://schemas.microsoft.com/office/spreadsheetml/2009/9/main" uri="{B025F937-C7B1-47D3-B67F-A62EFF666E3E}">
          <x14:id>{DAF16788-FF5A-4457-908D-DD58FC7F9BC0}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F16788-FF5A-4457-908D-DD58FC7F9BC0}">
            <x14:dataBar minLength="10" maxLength="90" axisPosition="none" gradient="true">
              <x14:cfvo type="num">
                <xm:f>0</xm:f>
              </x14:cfvo>
              <x14:cfvo type="max"/>
              <x14:negativeFillColor rgb="FF6FA52C"/>
              <x14:axisColor rgb="FF000000"/>
            </x14:dataBar>
          </x14:cfRule>
          <xm:sqref>C7:C15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2026-06-26T05:32:18Z</dcterms:created>
  <dc:creator>openpyxl</dc:creator>
  <dc:description/>
  <dc:language>en-US</dc:language>
  <cp:lastModifiedBy/>
  <dcterms:modified xsi:type="dcterms:W3CDTF">2026-06-26T05:32:18Z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